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<sst xmlns="http://schemas.openxmlformats.org/spreadsheetml/2006/main" count="23" uniqueCount="23">
  <si>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>Poradie</t>
  </si>
  <si>
    <t xml:space="preserve">Stav systému [mm]</t>
  </si>
  <si>
    <t xml:space="preserve">Meranie [mm]</t>
  </si>
  <si>
    <t xml:space="preserve">Akčný zásah [mm/s]</t>
  </si>
  <si>
    <t xml:space="preserve">Odhad stavu [mm]</t>
  </si>
  <si>
    <r>
      <rPr>
        <sz val="14"/>
        <color indexed="64"/>
        <rFont val="Times New Roman"/>
      </rPr>
      <t>P</t>
    </r>
    <r>
      <rPr>
        <vertAlign val="subscript"/>
        <sz val="14"/>
        <color indexed="64"/>
        <rFont val="Times New Roman"/>
      </rPr>
      <t>-</t>
    </r>
    <r>
      <rPr>
        <sz val="14"/>
        <color indexed="64"/>
        <rFont val="Times New Roman"/>
      </rPr>
      <t xml:space="preserve"> [mm]</t>
    </r>
  </si>
  <si>
    <t>K</t>
  </si>
  <si>
    <t xml:space="preserve">Výstup [mm]</t>
  </si>
  <si>
    <t xml:space="preserve">povodna tabulka z prednasky</t>
  </si>
  <si>
    <t>0,9999</t>
  </si>
  <si>
    <t>996,8</t>
  </si>
  <si>
    <t>0,4643</t>
  </si>
  <si>
    <t>1000,6</t>
  </si>
  <si>
    <t>???</t>
  </si>
  <si>
    <t xml:space="preserve">P_k [mm]</t>
  </si>
  <si>
    <t>w_k</t>
  </si>
  <si>
    <t>v_k</t>
  </si>
  <si>
    <t>delta_t</t>
  </si>
  <si>
    <t>A</t>
  </si>
  <si>
    <t>B</t>
  </si>
  <si>
    <t>Q</t>
  </si>
  <si>
    <t>H</t>
  </si>
  <si>
    <t>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</si>
</sst>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>
    <font>
      <sz val="11.000000"/>
      <color theme="1"/>
      <name val="Calibri"/>
      <scheme val="minor"/>
    </font>
    <font>
      <sz val="14.000000"/>
      <color indexed="64"/>
      <name val="Times New Roman"/>
    </font>
    <font>
      <sz val="14.000000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0D8E8"/>
        <bgColor rgb="FFD0D8E8"/>
      </patternFill>
    </fill>
    <fill>
      <patternFill patternType="solid">
        <fgColor rgb="FFE9EDF4"/>
        <bgColor rgb="FFE9EDF4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>
        <color indexed="65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2" borderId="1" numFmtId="0" xfId="0" applyFont="1" applyFill="1" applyBorder="1" applyAlignment="1">
      <alignment horizontal="center" vertical="top" wrapText="1"/>
    </xf>
    <xf fontId="1" fillId="3" borderId="0" numFmtId="0" xfId="0" applyFont="1" applyFill="1" applyAlignment="1">
      <alignment horizontal="center" vertical="top" wrapText="1"/>
    </xf>
    <xf fontId="1" fillId="4" borderId="0" numFmtId="0" xfId="0" applyFont="1" applyFill="1" applyAlignment="1">
      <alignment horizontal="center" vertical="top" wrapText="1"/>
    </xf>
    <xf fontId="2" fillId="4" borderId="0" numFmtId="0" xfId="0" applyFont="1" applyFill="1" applyAlignment="1">
      <alignment horizontal="center" vertical="top" wrapText="1"/>
    </xf>
    <xf fontId="2" fillId="3" borderId="0" numFmtId="0" xfId="0" applyFont="1" applyFill="1" applyAlignment="1">
      <alignment horizontal="center" vertical="top" wrapText="1"/>
    </xf>
    <xf fontId="2" fillId="0" borderId="0" numFmtId="0" xfId="0" applyFont="1"/>
    <xf fontId="1" fillId="3" borderId="0" numFmtId="164" xfId="0" applyNumberFormat="1" applyFont="1" applyFill="1" applyAlignment="1">
      <alignment horizontal="center" vertical="top" wrapText="1"/>
    </xf>
    <xf fontId="2" fillId="0" borderId="0" numFmtId="164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8.57421875"/>
    <col bestFit="1" min="2" max="2" width="10.8515625"/>
    <col bestFit="1" min="3" max="3" width="11.00390625"/>
    <col bestFit="1" min="4" max="4" width="9.421875"/>
    <col bestFit="1" min="5" max="5" width="13.36328125"/>
    <col bestFit="1" min="6" max="6" width="16.0234375"/>
    <col bestFit="1" min="8" max="8" width="13.36328125"/>
    <col customWidth="1" min="9" max="9" width="10.8515625"/>
    <col customWidth="1" min="13" max="13" width="6.8515625"/>
    <col customWidth="1" min="14" max="14" width="6.28125"/>
    <col customWidth="1" min="15" max="15" width="8.28125"/>
  </cols>
  <sheetData>
    <row r="1" ht="51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ht="17.25">
      <c r="A2" s="2">
        <v>0</v>
      </c>
      <c r="B2" s="2">
        <v>1000</v>
      </c>
      <c r="C2" s="2">
        <v>997</v>
      </c>
      <c r="D2" s="2">
        <v>0</v>
      </c>
      <c r="E2" s="2">
        <v>0</v>
      </c>
      <c r="F2" s="2">
        <v>100003</v>
      </c>
      <c r="G2" s="2" t="s">
        <v>9</v>
      </c>
      <c r="H2" s="2" t="s">
        <v>10</v>
      </c>
    </row>
    <row r="3" ht="17.25">
      <c r="A3" s="3">
        <v>1</v>
      </c>
      <c r="B3" s="3">
        <v>1000</v>
      </c>
      <c r="C3" s="3">
        <v>1005</v>
      </c>
      <c r="D3" s="3">
        <v>0</v>
      </c>
      <c r="E3" s="3">
        <v>996.79999999999995</v>
      </c>
      <c r="F3" s="4">
        <v>13</v>
      </c>
      <c r="G3" s="3" t="s">
        <v>11</v>
      </c>
      <c r="H3" s="3" t="s">
        <v>12</v>
      </c>
    </row>
    <row r="4" ht="17.25">
      <c r="A4" s="2">
        <v>2</v>
      </c>
      <c r="B4" s="2">
        <v>948</v>
      </c>
      <c r="C4" s="2">
        <v>950</v>
      </c>
      <c r="D4" s="2">
        <v>500</v>
      </c>
      <c r="E4" s="2" t="s">
        <v>13</v>
      </c>
      <c r="F4" s="2" t="s">
        <v>13</v>
      </c>
      <c r="G4" s="2" t="s">
        <v>13</v>
      </c>
      <c r="H4" s="2" t="s">
        <v>13</v>
      </c>
    </row>
    <row r="5" ht="17.25">
      <c r="A5" s="3">
        <v>3</v>
      </c>
      <c r="B5" s="3">
        <v>905</v>
      </c>
      <c r="C5" s="3">
        <v>910</v>
      </c>
      <c r="D5" s="3">
        <v>400</v>
      </c>
      <c r="E5" s="3" t="s">
        <v>13</v>
      </c>
      <c r="F5" s="3" t="s">
        <v>13</v>
      </c>
      <c r="G5" s="3" t="s">
        <v>13</v>
      </c>
      <c r="H5" s="3" t="s">
        <v>13</v>
      </c>
    </row>
    <row r="6" ht="17.25">
      <c r="A6" s="2">
        <v>4</v>
      </c>
      <c r="B6" s="2">
        <v>857</v>
      </c>
      <c r="C6" s="2">
        <v>845</v>
      </c>
      <c r="D6" s="2">
        <v>500</v>
      </c>
      <c r="E6" s="2" t="s">
        <v>13</v>
      </c>
      <c r="F6" s="2" t="s">
        <v>13</v>
      </c>
      <c r="G6" s="2" t="s">
        <v>13</v>
      </c>
      <c r="H6" s="2" t="s">
        <v>13</v>
      </c>
    </row>
    <row r="7" ht="17.25">
      <c r="A7" s="3">
        <v>5</v>
      </c>
      <c r="B7" s="3">
        <v>803</v>
      </c>
      <c r="C7" s="3">
        <v>789</v>
      </c>
      <c r="D7" s="3">
        <v>500</v>
      </c>
      <c r="E7" s="3" t="s">
        <v>13</v>
      </c>
      <c r="F7" s="3" t="s">
        <v>13</v>
      </c>
      <c r="G7" s="3" t="s">
        <v>13</v>
      </c>
      <c r="H7" s="3" t="s">
        <v>13</v>
      </c>
    </row>
    <row r="8" ht="17.25">
      <c r="A8" s="2">
        <v>6</v>
      </c>
      <c r="B8" s="2">
        <v>820</v>
      </c>
      <c r="C8" s="2">
        <v>800</v>
      </c>
      <c r="D8" s="5">
        <v>-250</v>
      </c>
      <c r="E8" s="2" t="s">
        <v>13</v>
      </c>
      <c r="F8" s="2" t="s">
        <v>13</v>
      </c>
      <c r="G8" s="2" t="s">
        <v>13</v>
      </c>
      <c r="H8" s="2" t="s">
        <v>13</v>
      </c>
    </row>
    <row r="16" ht="51.7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14</v>
      </c>
      <c r="J16" s="6" t="s">
        <v>15</v>
      </c>
      <c r="K16" s="6" t="s">
        <v>16</v>
      </c>
      <c r="L16" s="6" t="s">
        <v>17</v>
      </c>
      <c r="M16" s="6" t="s">
        <v>18</v>
      </c>
      <c r="N16" s="6" t="s">
        <v>19</v>
      </c>
      <c r="O16" s="6" t="s">
        <v>20</v>
      </c>
      <c r="P16" s="6" t="s">
        <v>21</v>
      </c>
      <c r="Q16" s="6" t="s">
        <v>22</v>
      </c>
    </row>
    <row r="17" ht="17.25">
      <c r="A17" s="2">
        <v>0</v>
      </c>
      <c r="B17" s="2">
        <v>1000</v>
      </c>
      <c r="C17" s="2">
        <v>997</v>
      </c>
      <c r="D17" s="2">
        <v>0</v>
      </c>
      <c r="E17" s="7">
        <f>$M17*D17+$N$17*D17</f>
        <v>0</v>
      </c>
      <c r="F17" s="7">
        <v>100003</v>
      </c>
      <c r="G17" s="7">
        <f>F17*$P$17*($P$17*F$17*$P$17+$Q$17)^-1</f>
        <v>0.99985002699514092</v>
      </c>
      <c r="H17" s="7">
        <f>E17+G17*(C17-$P$17*E17)</f>
        <v>996.85047691415548</v>
      </c>
      <c r="I17" s="8">
        <f>(1-G17*$P$17)*F17</f>
        <v>14.997750404922883</v>
      </c>
      <c r="J17" s="6">
        <v>30</v>
      </c>
      <c r="K17" s="6">
        <v>15</v>
      </c>
      <c r="L17" s="6">
        <v>0.10000000000000001</v>
      </c>
      <c r="M17" s="6">
        <v>1</v>
      </c>
      <c r="N17" s="6">
        <f>L17</f>
        <v>0.10000000000000001</v>
      </c>
      <c r="O17" s="6">
        <f>J17*L17</f>
        <v>3</v>
      </c>
      <c r="P17" s="6">
        <v>1</v>
      </c>
      <c r="Q17" s="6">
        <f>K17</f>
        <v>15</v>
      </c>
    </row>
    <row r="18" ht="17.25">
      <c r="A18" s="3">
        <v>1</v>
      </c>
      <c r="B18" s="3">
        <v>1000</v>
      </c>
      <c r="C18" s="3">
        <v>1005</v>
      </c>
      <c r="D18" s="3">
        <v>0</v>
      </c>
      <c r="E18" s="7">
        <f>$M$17*H17+$N$17*D18</f>
        <v>996.85047691415548</v>
      </c>
      <c r="F18" s="7">
        <f>$M$17*I17*$M$17+$O$17</f>
        <v>17.997750404922883</v>
      </c>
      <c r="G18" s="7">
        <f>F18*$P$17*($P$17*F$17*$P$17+$Q$17)^-1</f>
        <v>0.00017994511392872167</v>
      </c>
      <c r="H18" s="7">
        <f>E18+G18*(C18-$P$17*E18)</f>
        <v>996.85194338101564</v>
      </c>
      <c r="I18" s="8">
        <f>(1-G18*$P$17)*F18</f>
        <v>17.994511797675809</v>
      </c>
      <c r="J18" s="6"/>
      <c r="K18" s="6"/>
      <c r="L18" s="6"/>
      <c r="M18" s="6"/>
      <c r="N18" s="6"/>
      <c r="O18" s="6"/>
      <c r="P18" s="6"/>
      <c r="Q18" s="6"/>
    </row>
    <row r="19" ht="17.25">
      <c r="A19" s="2">
        <v>2</v>
      </c>
      <c r="B19" s="2">
        <v>948</v>
      </c>
      <c r="C19" s="2">
        <v>950</v>
      </c>
      <c r="D19" s="2">
        <v>500</v>
      </c>
      <c r="E19" s="7">
        <f>$M$17*H18+$N$17*D19</f>
        <v>1046.8519433810156</v>
      </c>
      <c r="F19" s="7">
        <f>$M$17*I18*$M$17+$O$17</f>
        <v>20.994511797675809</v>
      </c>
      <c r="G19" s="7">
        <f>F19*$P$17*($P$17*F$17*$P$17+$Q$17)^-1</f>
        <v>0.00020990733465651992</v>
      </c>
      <c r="H19" s="7">
        <f>E19+G19*(C19-$P$17*E19)</f>
        <v>1046.8316134477243</v>
      </c>
      <c r="I19" s="8">
        <f>(1-G19*$P$17)*F19</f>
        <v>20.990104895661943</v>
      </c>
      <c r="J19" s="6"/>
      <c r="K19" s="6"/>
      <c r="L19" s="6"/>
      <c r="M19" s="6"/>
      <c r="N19" s="6"/>
      <c r="O19" s="6"/>
      <c r="P19" s="6"/>
      <c r="Q19" s="6"/>
    </row>
    <row r="20" ht="17.25">
      <c r="A20" s="3">
        <v>3</v>
      </c>
      <c r="B20" s="3">
        <v>905</v>
      </c>
      <c r="C20" s="3">
        <v>910</v>
      </c>
      <c r="D20" s="3">
        <v>400</v>
      </c>
      <c r="E20" s="7">
        <f>$M$17*H19+$N$17*D20</f>
        <v>1086.8316134477243</v>
      </c>
      <c r="F20" s="7">
        <f>$M$17*I19*$M$17+$O$17</f>
        <v>23.990104895661943</v>
      </c>
      <c r="G20" s="7">
        <f>F20*$P$17*($P$17*F$17*$P$17+$Q$17)^-1</f>
        <v>0.0002398578745392024</v>
      </c>
      <c r="H20" s="7">
        <f>E20+G20*(C20-$P$17*E20)</f>
        <v>1086.7891989927714</v>
      </c>
      <c r="I20" s="8">
        <f>(1-G20*$P$17)*F20</f>
        <v>23.984350680091698</v>
      </c>
      <c r="J20" s="6"/>
      <c r="K20" s="6"/>
      <c r="L20" s="6"/>
      <c r="M20" s="6"/>
      <c r="N20" s="6"/>
      <c r="O20" s="6"/>
      <c r="P20" s="6"/>
      <c r="Q20" s="6"/>
    </row>
    <row r="21" ht="17.25">
      <c r="A21" s="2">
        <v>4</v>
      </c>
      <c r="B21" s="2">
        <v>857</v>
      </c>
      <c r="C21" s="2">
        <v>845</v>
      </c>
      <c r="D21" s="2">
        <v>500</v>
      </c>
      <c r="E21" s="7">
        <f>$M$17*H20+$N$17*D21</f>
        <v>1136.7891989927714</v>
      </c>
      <c r="F21" s="7">
        <f>$M$17*I20*$M$17+$O$17</f>
        <v>26.984350680091698</v>
      </c>
      <c r="G21" s="7">
        <f>F21*$P$17*($P$17*F$17*$P$17+$Q$17)^-1</f>
        <v>0.00026979494371104899</v>
      </c>
      <c r="H21" s="7">
        <f>E21+G21*(C21-$P$17*E21)</f>
        <v>1136.7104757422537</v>
      </c>
      <c r="I21" s="8">
        <f>(1-G21*$P$17)*F21</f>
        <v>26.977070438718883</v>
      </c>
      <c r="J21" s="6"/>
      <c r="K21" s="6"/>
      <c r="L21" s="6"/>
      <c r="M21" s="6"/>
      <c r="N21" s="6"/>
      <c r="O21" s="6"/>
      <c r="P21" s="6"/>
      <c r="Q21" s="6"/>
    </row>
    <row r="22" ht="17.25">
      <c r="A22" s="3">
        <v>5</v>
      </c>
      <c r="B22" s="3">
        <v>803</v>
      </c>
      <c r="C22" s="3">
        <v>789</v>
      </c>
      <c r="D22" s="3">
        <v>500</v>
      </c>
      <c r="E22" s="7">
        <f>$M$17*H21+$N$17*D22</f>
        <v>1186.7104757422537</v>
      </c>
      <c r="F22" s="7">
        <f>$M$17*I21*$M$17+$O$17</f>
        <v>29.977070438718883</v>
      </c>
      <c r="G22" s="7">
        <f>F22*$P$17*($P$17*F$17*$P$17+$Q$17)^-1</f>
        <v>0.00029971675537122201</v>
      </c>
      <c r="H22" s="7">
        <f>E22+G22*(C22-$P$17*E22)</f>
        <v>1186.5912752488871</v>
      </c>
      <c r="I22" s="8">
        <f>(1-G22*$P$17)*F22</f>
        <v>29.968085808431457</v>
      </c>
      <c r="J22" s="6"/>
      <c r="K22" s="6"/>
      <c r="L22" s="6"/>
      <c r="M22" s="6"/>
      <c r="N22" s="6"/>
      <c r="O22" s="6"/>
      <c r="P22" s="6"/>
      <c r="Q22" s="6"/>
    </row>
    <row r="23" ht="17.25">
      <c r="A23" s="2">
        <v>6</v>
      </c>
      <c r="B23" s="2">
        <v>820</v>
      </c>
      <c r="C23" s="2">
        <v>800</v>
      </c>
      <c r="D23" s="5">
        <v>-250</v>
      </c>
      <c r="E23" s="7">
        <f>$M$17*H22+$N$17*D23</f>
        <v>1161.5912752488871</v>
      </c>
      <c r="F23" s="7">
        <f>$M$17*I22*$M$17+$O$17</f>
        <v>32.968085808431454</v>
      </c>
      <c r="G23" s="7">
        <f>F23*$P$17*($P$17*F$17*$P$17+$Q$17)^-1</f>
        <v>0.00032962152620959683</v>
      </c>
      <c r="H23" s="7">
        <f>E23+G23*(C23-$P$17*E23)</f>
        <v>1161.4720869808755</v>
      </c>
      <c r="I23" s="8">
        <f>(1-G23*$P$17)*F23</f>
        <v>32.95721881767107</v>
      </c>
      <c r="J23" s="6"/>
      <c r="K23" s="6"/>
      <c r="L23" s="6"/>
      <c r="M23" s="6"/>
      <c r="N23" s="6"/>
      <c r="O23" s="6"/>
      <c r="P23" s="6"/>
      <c r="Q23" s="6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2026-03-20T13:58:07Z</dcterms:modified>
</cp:coreProperties>
</file>